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Current Term" sheetId="2" state="visible" r:id="rId4"/>
    <sheet name="Curriculum Versions" sheetId="3" state="visible" r:id="rId5"/>
    <sheet name="Batches" sheetId="4" state="visible" r:id="rId6"/>
    <sheet name="Section Overrid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<sst xmlns="http://schemas.openxmlformats.org/spreadsheetml/2006/main" count="53" uniqueCount="41">
  <si>
    <t xml:space="preserve">Batch Registry — CSE Dept, Varendra University</t>
  </si>
  <si>
    <t xml:space="preserve">Purpose: track every active batch, which curriculum they follow, and which semester-position (1st–8th) they are currently in — computed automatically instead of updated by hand each term.</t>
  </si>
  <si>
    <t xml:space="preserve">How it works:</t>
  </si>
  <si>
    <t xml:space="preserve">1. Set "Current Term" on that tab (Season + Year) once per semester — everything else recalculates from that.</t>
  </si>
  <si>
    <t xml:space="preserve">2. On "Batches", add one row per batch: Batch No, Curriculum, Admission Season, Admission Year, Sections.</t>
  </si>
  <si>
    <t xml:space="preserve">3. "Current Semester Position" and "Status" are formulas — do not edit them directly.</t>
  </si>
  <si>
    <t xml:space="preserve">   - Status = Active: this batch needs courses assigned this term (their row feeds the course-requirements list).</t>
  </si>
  <si>
    <t xml:space="preserve">   - Status = Graduated: 8th semester is behind them — no longer relevant, but keep the row for history.</t>
  </si>
  <si>
    <t xml:space="preserve">   - Status = Not Yet Admitted: admission term is in the future — ignore for now.</t>
  </si>
  <si>
    <t xml:space="preserve">4. "Section Overrides" tab: by default, every course a batch is due for runs in ALL of that batch's sections. Only add a row here for an exception (a course that, this term, doesn't run in every section).</t>
  </si>
  <si>
    <t xml:space="preserve">5. When a batch finishes, leave the row (useful history) — the generator only pulls Active rows.</t>
  </si>
  <si>
    <t xml:space="preserve">6. When a new batch is admitted, add a new row. When a new curriculum is introduced, add it to "Curriculum Versions" and start using its name here.</t>
  </si>
  <si>
    <t xml:space="preserve">Current Term Season</t>
  </si>
  <si>
    <t xml:space="preserve">Summer</t>
  </si>
  <si>
    <t xml:space="preserve">Current Term Year</t>
  </si>
  <si>
    <t xml:space="preserve">Update these two cells once per semester. Everything on the Batches tab recalculates automatically.</t>
  </si>
  <si>
    <t xml:space="preserve">Curriculum Name</t>
  </si>
  <si>
    <t xml:space="preserve">Batch Range</t>
  </si>
  <si>
    <t xml:space="preserve">Introduced (Term)</t>
  </si>
  <si>
    <t xml:space="preserve">Notes</t>
  </si>
  <si>
    <t xml:space="preserve">Curriculum A</t>
  </si>
  <si>
    <t xml:space="preserve">32nd–35th</t>
  </si>
  <si>
    <t xml:space="preserve">Course list to come from uploaded syllabus</t>
  </si>
  <si>
    <t xml:space="preserve">Curriculum B</t>
  </si>
  <si>
    <t xml:space="preserve">36th–37th</t>
  </si>
  <si>
    <t xml:space="preserve">Curriculum C</t>
  </si>
  <si>
    <t xml:space="preserve">38th–onward</t>
  </si>
  <si>
    <t xml:space="preserve">Batch No</t>
  </si>
  <si>
    <t xml:space="preserve">Curriculum</t>
  </si>
  <si>
    <t xml:space="preserve">Admission Season</t>
  </si>
  <si>
    <t xml:space="preserve">Admission Year</t>
  </si>
  <si>
    <t xml:space="preserve">Sections</t>
  </si>
  <si>
    <t xml:space="preserve">Current Semester Position</t>
  </si>
  <si>
    <t xml:space="preserve">Status</t>
  </si>
  <si>
    <t xml:space="preserve">EXAMPLE — replace with real admission data</t>
  </si>
  <si>
    <t xml:space="preserve">Spring</t>
  </si>
  <si>
    <t xml:space="preserve">Course Code</t>
  </si>
  <si>
    <t xml:space="preserve">Sections That Need This Course</t>
  </si>
  <si>
    <t xml:space="preserve">CSE 4101</t>
  </si>
  <si>
    <t xml:space="preserve">C,D,E</t>
  </si>
  <si>
    <t xml:space="preserve">EXAMPLE — only these sections need this course this term (e.g. others already completed it as a retake-only case). Leave this table empty if every course simply runs in all of a batch's sections.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</si>
</sst>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C2A4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616D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616D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1C2A44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16D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22"/>
    <col collapsed="false" customWidth="true" hidden="false" outlineLevel="0" max="2" min="2" style="3" width="14"/>
  </cols>
  <sheetData>
    <row r="1" customFormat="false" ht="15" hidden="false" customHeight="true" outlineLevel="0" collapsed="false">
      <c r="A1" s="4" t="s">
        <v>12</v>
      </c>
      <c r="B1" s="5" t="s">
        <v>13</v>
      </c>
    </row>
    <row r="2" customFormat="false" ht="15" hidden="false" customHeight="true" outlineLevel="0" collapsed="false">
      <c r="A2" s="4" t="s">
        <v>14</v>
      </c>
      <c r="B2" s="5" t="n">
        <v>2026</v>
      </c>
    </row>
    <row r="4" customFormat="false" ht="15" hidden="false" customHeight="true" outlineLevel="0" collapsed="false">
      <c r="A4" s="6" t="s">
        <v>15</v>
      </c>
    </row>
  </sheetData>
  <dataValidations count="1">
    <dataValidation allowBlank="false" errorStyle="stop" operator="between" showDropDown="false" showErrorMessage="false" showInputMessage="false" sqref="B1" type="list">
      <formula1>"Spring,Summer"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20"/>
    <col collapsed="false" customWidth="true" hidden="false" outlineLevel="0" max="2" min="2" style="3" width="16"/>
    <col collapsed="false" customWidth="true" hidden="false" outlineLevel="0" max="3" min="3" style="3" width="18"/>
    <col collapsed="false" customWidth="true" hidden="false" outlineLevel="0" max="4" min="4" style="3" width="45"/>
  </cols>
  <sheetData>
    <row r="1" customFormat="false" ht="15" hidden="false" customHeight="true" outlineLevel="0" collapsed="false">
      <c r="A1" s="7" t="s">
        <v>16</v>
      </c>
      <c r="B1" s="7" t="s">
        <v>17</v>
      </c>
      <c r="C1" s="7" t="s">
        <v>18</v>
      </c>
      <c r="D1" s="7" t="s">
        <v>19</v>
      </c>
    </row>
    <row r="2" customFormat="false" ht="15" hidden="false" customHeight="true" outlineLevel="0" collapsed="false">
      <c r="A2" s="8" t="s">
        <v>20</v>
      </c>
      <c r="B2" s="8" t="s">
        <v>21</v>
      </c>
      <c r="C2" s="8"/>
      <c r="D2" s="8" t="s">
        <v>22</v>
      </c>
    </row>
    <row r="3" customFormat="false" ht="15" hidden="false" customHeight="true" outlineLevel="0" collapsed="false">
      <c r="A3" s="8" t="s">
        <v>23</v>
      </c>
      <c r="B3" s="8" t="s">
        <v>24</v>
      </c>
      <c r="C3" s="8"/>
      <c r="D3" s="8" t="s">
        <v>22</v>
      </c>
    </row>
    <row r="4" customFormat="false" ht="15" hidden="false" customHeight="true" outlineLevel="0" collapsed="false">
      <c r="A4" s="8" t="s">
        <v>25</v>
      </c>
      <c r="B4" s="8" t="s">
        <v>26</v>
      </c>
      <c r="C4" s="8"/>
      <c r="D4" s="8" t="s">
        <v>22</v>
      </c>
    </row>
    <row r="5" customFormat="false" ht="15" hidden="false" customHeight="true" outlineLevel="0" collapsed="false">
      <c r="A5" s="9"/>
      <c r="B5" s="9"/>
      <c r="C5" s="9"/>
      <c r="D5" s="9"/>
    </row>
    <row r="6" customFormat="false" ht="15" hidden="false" customHeight="true" outlineLevel="0" collapsed="false">
      <c r="A6" s="9"/>
      <c r="B6" s="9"/>
      <c r="C6" s="9"/>
      <c r="D6" s="9"/>
    </row>
    <row r="7" customFormat="false" ht="15" hidden="false" customHeight="true" outlineLevel="0" collapsed="false">
      <c r="A7" s="9"/>
      <c r="B7" s="9"/>
      <c r="C7" s="9"/>
      <c r="D7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" width="10"/>
    <col collapsed="false" customWidth="true" hidden="false" outlineLevel="0" max="3" min="2" style="3" width="16"/>
    <col collapsed="false" customWidth="true" hidden="false" outlineLevel="0" max="4" min="4" style="3" width="14"/>
    <col collapsed="false" customWidth="true" hidden="false" outlineLevel="0" max="5" min="5" style="3" width="10"/>
    <col collapsed="false" customWidth="true" hidden="false" outlineLevel="0" max="6" min="6" style="3" width="22"/>
    <col collapsed="false" customWidth="true" hidden="false" outlineLevel="0" max="7" min="7" style="3" width="16"/>
    <col collapsed="false" customWidth="true" hidden="false" outlineLevel="0" max="8" min="8" style="3" width="42"/>
  </cols>
  <sheetData>
    <row r="1" customFormat="false" ht="15" hidden="false" customHeight="true" outlineLevel="0" collapsed="false">
      <c r="A1" s="7" t="s">
        <v>27</v>
      </c>
      <c r="B1" s="7" t="s">
        <v>28</v>
      </c>
      <c r="C1" s="7" t="s">
        <v>29</v>
      </c>
      <c r="D1" s="7" t="s">
        <v>30</v>
      </c>
      <c r="E1" s="7" t="s">
        <v>31</v>
      </c>
      <c r="F1" s="7" t="s">
        <v>32</v>
      </c>
      <c r="G1" s="7" t="s">
        <v>33</v>
      </c>
      <c r="H1" s="7" t="s">
        <v>19</v>
      </c>
    </row>
    <row r="2" customFormat="false" ht="15" hidden="false" customHeight="true" outlineLevel="0" collapsed="false">
      <c r="A2" s="10" t="n">
        <v>32</v>
      </c>
      <c r="B2" s="10" t="s">
        <v>20</v>
      </c>
      <c r="C2" s="10" t="s">
        <v>13</v>
      </c>
      <c r="D2" s="10" t="n">
        <v>2023</v>
      </c>
      <c r="E2" s="10" t="n">
        <v>6</v>
      </c>
      <c r="F2" s="10" t="n">
        <f aca="false">('Current Term'!$B$2*2+IF('Current Term'!$B$1="Summer",1,0))-(D2*2+IF(C2="Summer",1,0))+1</f>
        <v>7</v>
      </c>
      <c r="G2" s="10" t="str">
        <f aca="false">IF(F2&lt;1,"Not Yet Admitted",IF(F2&gt;8,"Graduated","Active"))</f>
        <v>Active</v>
      </c>
      <c r="H2" s="10" t="s">
        <v>34</v>
      </c>
    </row>
    <row r="3" customFormat="false" ht="15" hidden="false" customHeight="true" outlineLevel="0" collapsed="false">
      <c r="A3" s="10" t="n">
        <v>36</v>
      </c>
      <c r="B3" s="10" t="s">
        <v>23</v>
      </c>
      <c r="C3" s="10" t="s">
        <v>35</v>
      </c>
      <c r="D3" s="10" t="n">
        <v>2025</v>
      </c>
      <c r="E3" s="10" t="n">
        <v>5</v>
      </c>
      <c r="F3" s="10" t="n">
        <f aca="false">('Current Term'!$B$2*2+IF('Current Term'!$B$1="Summer",1,0))-(D3*2+IF(C3="Summer",1,0))+1</f>
        <v>4</v>
      </c>
      <c r="G3" s="10" t="str">
        <f aca="false">IF(F3&lt;1,"Not Yet Admitted",IF(F3&gt;8,"Graduated","Active"))</f>
        <v>Active</v>
      </c>
      <c r="H3" s="10" t="s">
        <v>34</v>
      </c>
    </row>
    <row r="4" customFormat="false" ht="15" hidden="false" customHeight="true" outlineLevel="0" collapsed="false">
      <c r="A4" s="10" t="n">
        <v>38</v>
      </c>
      <c r="B4" s="10" t="s">
        <v>25</v>
      </c>
      <c r="C4" s="10" t="s">
        <v>13</v>
      </c>
      <c r="D4" s="10" t="n">
        <v>2025</v>
      </c>
      <c r="E4" s="10" t="n">
        <v>7</v>
      </c>
      <c r="F4" s="10" t="n">
        <f aca="false">('Current Term'!$B$2*2+IF('Current Term'!$B$1="Summer",1,0))-(D4*2+IF(C4="Summer",1,0))+1</f>
        <v>3</v>
      </c>
      <c r="G4" s="10" t="str">
        <f aca="false">IF(F4&lt;1,"Not Yet Admitted",IF(F4&gt;8,"Graduated","Active"))</f>
        <v>Active</v>
      </c>
      <c r="H4" s="10" t="s">
        <v>34</v>
      </c>
    </row>
    <row r="5" customFormat="false" ht="15" hidden="false" customHeight="true" outlineLevel="0" collapsed="false">
      <c r="A5" s="9"/>
      <c r="B5" s="9"/>
      <c r="C5" s="9"/>
      <c r="D5" s="9"/>
      <c r="E5" s="9"/>
      <c r="F5" s="8" t="str">
        <f aca="false">IF(D5="","",('Current Term'!$B$2*2+IF('Current Term'!$B$1="Summer",1,0))-(D5*2+IF(C5="Summer",1,0))+1)</f>
        <v/>
      </c>
      <c r="G5" s="8" t="str">
        <f aca="false">IF(D5="","",IF(F5&lt;1,"Not Yet Admitted",IF(F5&gt;8,"Graduated","Active")))</f>
        <v/>
      </c>
      <c r="H5" s="9"/>
    </row>
    <row r="6" customFormat="false" ht="15" hidden="false" customHeight="true" outlineLevel="0" collapsed="false">
      <c r="A6" s="9"/>
      <c r="B6" s="9"/>
      <c r="C6" s="9"/>
      <c r="D6" s="9"/>
      <c r="E6" s="9"/>
      <c r="F6" s="8" t="str">
        <f aca="false">IF(D6="","",('Current Term'!$B$2*2+IF('Current Term'!$B$1="Summer",1,0))-(D6*2+IF(C6="Summer",1,0))+1)</f>
        <v/>
      </c>
      <c r="G6" s="8" t="str">
        <f aca="false">IF(D6="","",IF(F6&lt;1,"Not Yet Admitted",IF(F6&gt;8,"Graduated","Active")))</f>
        <v/>
      </c>
      <c r="H6" s="9"/>
    </row>
    <row r="7" customFormat="false" ht="15" hidden="false" customHeight="true" outlineLevel="0" collapsed="false">
      <c r="A7" s="9"/>
      <c r="B7" s="9"/>
      <c r="C7" s="9"/>
      <c r="D7" s="9"/>
      <c r="E7" s="9"/>
      <c r="F7" s="8" t="str">
        <f aca="false">IF(D7="","",('Current Term'!$B$2*2+IF('Current Term'!$B$1="Summer",1,0))-(D7*2+IF(C7="Summer",1,0))+1)</f>
        <v/>
      </c>
      <c r="G7" s="8" t="str">
        <f aca="false">IF(D7="","",IF(F7&lt;1,"Not Yet Admitted",IF(F7&gt;8,"Graduated","Active")))</f>
        <v/>
      </c>
      <c r="H7" s="9"/>
    </row>
    <row r="8" customFormat="false" ht="15" hidden="false" customHeight="true" outlineLevel="0" collapsed="false">
      <c r="A8" s="9"/>
      <c r="B8" s="9"/>
      <c r="C8" s="9"/>
      <c r="D8" s="9"/>
      <c r="E8" s="9"/>
      <c r="F8" s="8" t="str">
        <f aca="false">IF(D8="","",('Current Term'!$B$2*2+IF('Current Term'!$B$1="Summer",1,0))-(D8*2+IF(C8="Summer",1,0))+1)</f>
        <v/>
      </c>
      <c r="G8" s="8" t="str">
        <f aca="false">IF(D8="","",IF(F8&lt;1,"Not Yet Admitted",IF(F8&gt;8,"Graduated","Active")))</f>
        <v/>
      </c>
      <c r="H8" s="9"/>
    </row>
    <row r="9" customFormat="false" ht="15" hidden="false" customHeight="true" outlineLevel="0" collapsed="false">
      <c r="A9" s="9"/>
      <c r="B9" s="9"/>
      <c r="C9" s="9"/>
      <c r="D9" s="9"/>
      <c r="E9" s="9"/>
      <c r="F9" s="8" t="str">
        <f aca="false">IF(D9="","",('Current Term'!$B$2*2+IF('Current Term'!$B$1="Summer",1,0))-(D9*2+IF(C9="Summer",1,0))+1)</f>
        <v/>
      </c>
      <c r="G9" s="8" t="str">
        <f aca="false">IF(D9="","",IF(F9&lt;1,"Not Yet Admitted",IF(F9&gt;8,"Graduated","Active")))</f>
        <v/>
      </c>
      <c r="H9" s="9"/>
    </row>
    <row r="10" customFormat="false" ht="15" hidden="false" customHeight="true" outlineLevel="0" collapsed="false">
      <c r="A10" s="9"/>
      <c r="B10" s="9"/>
      <c r="C10" s="9"/>
      <c r="D10" s="9"/>
      <c r="E10" s="9"/>
      <c r="F10" s="8" t="str">
        <f aca="false">IF(D10="","",('Current Term'!$B$2*2+IF('Current Term'!$B$1="Summer",1,0))-(D10*2+IF(C10="Summer",1,0))+1)</f>
        <v/>
      </c>
      <c r="G10" s="8" t="str">
        <f aca="false">IF(D10="","",IF(F10&lt;1,"Not Yet Admitted",IF(F10&gt;8,"Graduated","Active")))</f>
        <v/>
      </c>
      <c r="H10" s="9"/>
    </row>
    <row r="11" customFormat="false" ht="15" hidden="false" customHeight="true" outlineLevel="0" collapsed="false">
      <c r="A11" s="9"/>
      <c r="B11" s="9"/>
      <c r="C11" s="9"/>
      <c r="D11" s="9"/>
      <c r="E11" s="9"/>
      <c r="F11" s="8" t="str">
        <f aca="false">IF(D11="","",('Current Term'!$B$2*2+IF('Current Term'!$B$1="Summer",1,0))-(D11*2+IF(C11="Summer",1,0))+1)</f>
        <v/>
      </c>
      <c r="G11" s="8" t="str">
        <f aca="false">IF(D11="","",IF(F11&lt;1,"Not Yet Admitted",IF(F11&gt;8,"Graduated","Active")))</f>
        <v/>
      </c>
      <c r="H11" s="9"/>
    </row>
    <row r="12" customFormat="false" ht="15" hidden="false" customHeight="true" outlineLevel="0" collapsed="false">
      <c r="A12" s="9"/>
      <c r="B12" s="9"/>
      <c r="C12" s="9"/>
      <c r="D12" s="9"/>
      <c r="E12" s="9"/>
      <c r="F12" s="8" t="str">
        <f aca="false">IF(D12="","",('Current Term'!$B$2*2+IF('Current Term'!$B$1="Summer",1,0))-(D12*2+IF(C12="Summer",1,0))+1)</f>
        <v/>
      </c>
      <c r="G12" s="8" t="str">
        <f aca="false">IF(D12="","",IF(F12&lt;1,"Not Yet Admitted",IF(F12&gt;8,"Graduated","Active")))</f>
        <v/>
      </c>
      <c r="H12" s="9"/>
    </row>
    <row r="13" customFormat="false" ht="15" hidden="false" customHeight="true" outlineLevel="0" collapsed="false">
      <c r="A13" s="9"/>
      <c r="B13" s="9"/>
      <c r="C13" s="9"/>
      <c r="D13" s="9"/>
      <c r="E13" s="9"/>
      <c r="F13" s="8" t="str">
        <f aca="false">IF(D13="","",('Current Term'!$B$2*2+IF('Current Term'!$B$1="Summer",1,0))-(D13*2+IF(C13="Summer",1,0))+1)</f>
        <v/>
      </c>
      <c r="G13" s="8" t="str">
        <f aca="false">IF(D13="","",IF(F13&lt;1,"Not Yet Admitted",IF(F13&gt;8,"Graduated","Active")))</f>
        <v/>
      </c>
      <c r="H13" s="9"/>
    </row>
    <row r="14" customFormat="false" ht="15" hidden="false" customHeight="true" outlineLevel="0" collapsed="false">
      <c r="A14" s="9"/>
      <c r="B14" s="9"/>
      <c r="C14" s="9"/>
      <c r="D14" s="9"/>
      <c r="E14" s="9"/>
      <c r="F14" s="8" t="str">
        <f aca="false">IF(D14="","",('Current Term'!$B$2*2+IF('Current Term'!$B$1="Summer",1,0))-(D14*2+IF(C14="Summer",1,0))+1)</f>
        <v/>
      </c>
      <c r="G14" s="8" t="str">
        <f aca="false">IF(D14="","",IF(F14&lt;1,"Not Yet Admitted",IF(F14&gt;8,"Graduated","Active")))</f>
        <v/>
      </c>
      <c r="H14" s="9"/>
    </row>
    <row r="15" customFormat="false" ht="15" hidden="false" customHeight="true" outlineLevel="0" collapsed="false">
      <c r="A15" s="9"/>
      <c r="B15" s="9"/>
      <c r="C15" s="9"/>
      <c r="D15" s="9"/>
      <c r="E15" s="9"/>
      <c r="F15" s="8" t="str">
        <f aca="false">IF(D15="","",('Current Term'!$B$2*2+IF('Current Term'!$B$1="Summer",1,0))-(D15*2+IF(C15="Summer",1,0))+1)</f>
        <v/>
      </c>
      <c r="G15" s="8" t="str">
        <f aca="false">IF(D15="","",IF(F15&lt;1,"Not Yet Admitted",IF(F15&gt;8,"Graduated","Active")))</f>
        <v/>
      </c>
      <c r="H15" s="9"/>
    </row>
    <row r="16" customFormat="false" ht="15" hidden="false" customHeight="true" outlineLevel="0" collapsed="false">
      <c r="A16" s="9"/>
      <c r="B16" s="9"/>
      <c r="C16" s="9"/>
      <c r="D16" s="9"/>
      <c r="E16" s="9"/>
      <c r="F16" s="8" t="str">
        <f aca="false">IF(D16="","",('Current Term'!$B$2*2+IF('Current Term'!$B$1="Summer",1,0))-(D16*2+IF(C16="Summer",1,0))+1)</f>
        <v/>
      </c>
      <c r="G16" s="8" t="str">
        <f aca="false">IF(D16="","",IF(F16&lt;1,"Not Yet Admitted",IF(F16&gt;8,"Graduated","Active")))</f>
        <v/>
      </c>
      <c r="H16" s="9"/>
    </row>
    <row r="17" customFormat="false" ht="15" hidden="false" customHeight="true" outlineLevel="0" collapsed="false">
      <c r="A17" s="9"/>
      <c r="B17" s="9"/>
      <c r="C17" s="9"/>
      <c r="D17" s="9"/>
      <c r="E17" s="9"/>
      <c r="F17" s="8" t="str">
        <f aca="false">IF(D17="","",('Current Term'!$B$2*2+IF('Current Term'!$B$1="Summer",1,0))-(D17*2+IF(C17="Summer",1,0))+1)</f>
        <v/>
      </c>
      <c r="G17" s="8" t="str">
        <f aca="false">IF(D17="","",IF(F17&lt;1,"Not Yet Admitted",IF(F17&gt;8,"Graduated","Active")))</f>
        <v/>
      </c>
      <c r="H17" s="9"/>
    </row>
    <row r="18" customFormat="false" ht="15" hidden="false" customHeight="true" outlineLevel="0" collapsed="false">
      <c r="A18" s="9"/>
      <c r="B18" s="9"/>
      <c r="C18" s="9"/>
      <c r="D18" s="9"/>
      <c r="E18" s="9"/>
      <c r="F18" s="8" t="str">
        <f aca="false">IF(D18="","",('Current Term'!$B$2*2+IF('Current Term'!$B$1="Summer",1,0))-(D18*2+IF(C18="Summer",1,0))+1)</f>
        <v/>
      </c>
      <c r="G18" s="8" t="str">
        <f aca="false">IF(D18="","",IF(F18&lt;1,"Not Yet Admitted",IF(F18&gt;8,"Graduated","Active")))</f>
        <v/>
      </c>
      <c r="H18" s="9"/>
    </row>
    <row r="19" customFormat="false" ht="15" hidden="false" customHeight="true" outlineLevel="0" collapsed="false">
      <c r="A19" s="9"/>
      <c r="B19" s="9"/>
      <c r="C19" s="9"/>
      <c r="D19" s="9"/>
      <c r="E19" s="9"/>
      <c r="F19" s="8" t="str">
        <f aca="false">IF(D19="","",('Current Term'!$B$2*2+IF('Current Term'!$B$1="Summer",1,0))-(D19*2+IF(C19="Summer",1,0))+1)</f>
        <v/>
      </c>
      <c r="G19" s="8" t="str">
        <f aca="false">IF(D19="","",IF(F19&lt;1,"Not Yet Admitted",IF(F19&gt;8,"Graduated","Active")))</f>
        <v/>
      </c>
      <c r="H19" s="9"/>
    </row>
    <row r="20" customFormat="false" ht="15" hidden="false" customHeight="true" outlineLevel="0" collapsed="false">
      <c r="A20" s="9"/>
      <c r="B20" s="9"/>
      <c r="C20" s="9"/>
      <c r="D20" s="9"/>
      <c r="E20" s="9"/>
      <c r="F20" s="8" t="str">
        <f aca="false">IF(D20="","",('Current Term'!$B$2*2+IF('Current Term'!$B$1="Summer",1,0))-(D20*2+IF(C20="Summer",1,0))+1)</f>
        <v/>
      </c>
      <c r="G20" s="8" t="str">
        <f aca="false">IF(D20="","",IF(F20&lt;1,"Not Yet Admitted",IF(F20&gt;8,"Graduated","Active")))</f>
        <v/>
      </c>
      <c r="H20" s="9"/>
    </row>
    <row r="21" customFormat="false" ht="15" hidden="false" customHeight="true" outlineLevel="0" collapsed="false">
      <c r="A21" s="9"/>
      <c r="B21" s="9"/>
      <c r="C21" s="9"/>
      <c r="D21" s="9"/>
      <c r="E21" s="9"/>
      <c r="F21" s="8" t="str">
        <f aca="false">IF(D21="","",('Current Term'!$B$2*2+IF('Current Term'!$B$1="Summer",1,0))-(D21*2+IF(C21="Summer",1,0))+1)</f>
        <v/>
      </c>
      <c r="G21" s="8" t="str">
        <f aca="false">IF(D21="","",IF(F21&lt;1,"Not Yet Admitted",IF(F21&gt;8,"Graduated","Active")))</f>
        <v/>
      </c>
      <c r="H21" s="9"/>
    </row>
    <row r="22" customFormat="false" ht="15" hidden="false" customHeight="true" outlineLevel="0" collapsed="false">
      <c r="A22" s="9"/>
      <c r="B22" s="9"/>
      <c r="C22" s="9"/>
      <c r="D22" s="9"/>
      <c r="E22" s="9"/>
      <c r="F22" s="8" t="str">
        <f aca="false">IF(D22="","",('Current Term'!$B$2*2+IF('Current Term'!$B$1="Summer",1,0))-(D22*2+IF(C22="Summer",1,0))+1)</f>
        <v/>
      </c>
      <c r="G22" s="8" t="str">
        <f aca="false">IF(D22="","",IF(F22&lt;1,"Not Yet Admitted",IF(F22&gt;8,"Graduated","Active")))</f>
        <v/>
      </c>
      <c r="H22" s="9"/>
    </row>
    <row r="23" customFormat="false" ht="15" hidden="false" customHeight="true" outlineLevel="0" collapsed="false">
      <c r="A23" s="9"/>
      <c r="B23" s="9"/>
      <c r="C23" s="9"/>
      <c r="D23" s="9"/>
      <c r="E23" s="9"/>
      <c r="F23" s="8" t="str">
        <f aca="false">IF(D23="","",('Current Term'!$B$2*2+IF('Current Term'!$B$1="Summer",1,0))-(D23*2+IF(C23="Summer",1,0))+1)</f>
        <v/>
      </c>
      <c r="G23" s="8" t="str">
        <f aca="false">IF(D23="","",IF(F23&lt;1,"Not Yet Admitted",IF(F23&gt;8,"Graduated","Active")))</f>
        <v/>
      </c>
      <c r="H23" s="9"/>
    </row>
    <row r="24" customFormat="false" ht="15" hidden="false" customHeight="true" outlineLevel="0" collapsed="false">
      <c r="A24" s="9"/>
      <c r="B24" s="9"/>
      <c r="C24" s="9"/>
      <c r="D24" s="9"/>
      <c r="E24" s="9"/>
      <c r="F24" s="8" t="str">
        <f aca="false">IF(D24="","",('Current Term'!$B$2*2+IF('Current Term'!$B$1="Summer",1,0))-(D24*2+IF(C24="Summer",1,0))+1)</f>
        <v/>
      </c>
      <c r="G24" s="8" t="str">
        <f aca="false">IF(D24="","",IF(F24&lt;1,"Not Yet Admitted",IF(F24&gt;8,"Graduated","Active")))</f>
        <v/>
      </c>
      <c r="H24" s="9"/>
    </row>
    <row r="25" customFormat="false" ht="15" hidden="false" customHeight="true" outlineLevel="0" collapsed="false">
      <c r="A25" s="9"/>
      <c r="B25" s="9"/>
      <c r="C25" s="9"/>
      <c r="D25" s="9"/>
      <c r="E25" s="9"/>
      <c r="F25" s="8" t="str">
        <f aca="false">IF(D25="","",('Current Term'!$B$2*2+IF('Current Term'!$B$1="Summer",1,0))-(D25*2+IF(C25="Summer",1,0))+1)</f>
        <v/>
      </c>
      <c r="G25" s="8" t="str">
        <f aca="false">IF(D25="","",IF(F25&lt;1,"Not Yet Admitted",IF(F25&gt;8,"Graduated","Active")))</f>
        <v/>
      </c>
      <c r="H25" s="9"/>
    </row>
    <row r="26" customFormat="false" ht="15" hidden="false" customHeight="true" outlineLevel="0" collapsed="false">
      <c r="A26" s="9"/>
      <c r="B26" s="9"/>
      <c r="C26" s="9"/>
      <c r="D26" s="9"/>
      <c r="E26" s="9"/>
      <c r="F26" s="8" t="str">
        <f aca="false">IF(D26="","",('Current Term'!$B$2*2+IF('Current Term'!$B$1="Summer",1,0))-(D26*2+IF(C26="Summer",1,0))+1)</f>
        <v/>
      </c>
      <c r="G26" s="8" t="str">
        <f aca="false">IF(D26="","",IF(F26&lt;1,"Not Yet Admitted",IF(F26&gt;8,"Graduated","Active")))</f>
        <v/>
      </c>
      <c r="H26" s="9"/>
    </row>
    <row r="27" customFormat="false" ht="15" hidden="false" customHeight="true" outlineLevel="0" collapsed="false">
      <c r="A27" s="9"/>
      <c r="B27" s="9"/>
      <c r="C27" s="9"/>
      <c r="D27" s="9"/>
      <c r="E27" s="9"/>
      <c r="F27" s="8" t="str">
        <f aca="false">IF(D27="","",('Current Term'!$B$2*2+IF('Current Term'!$B$1="Summer",1,0))-(D27*2+IF(C27="Summer",1,0))+1)</f>
        <v/>
      </c>
      <c r="G27" s="8" t="str">
        <f aca="false">IF(D27="","",IF(F27&lt;1,"Not Yet Admitted",IF(F27&gt;8,"Graduated","Active")))</f>
        <v/>
      </c>
      <c r="H27" s="9"/>
    </row>
    <row r="28" customFormat="false" ht="15" hidden="false" customHeight="true" outlineLevel="0" collapsed="false">
      <c r="A28" s="9"/>
      <c r="B28" s="9"/>
      <c r="C28" s="9"/>
      <c r="D28" s="9"/>
      <c r="E28" s="9"/>
      <c r="F28" s="8" t="str">
        <f aca="false">IF(D28="","",('Current Term'!$B$2*2+IF('Current Term'!$B$1="Summer",1,0))-(D28*2+IF(C28="Summer",1,0))+1)</f>
        <v/>
      </c>
      <c r="G28" s="8" t="str">
        <f aca="false">IF(D28="","",IF(F28&lt;1,"Not Yet Admitted",IF(F28&gt;8,"Graduated","Active")))</f>
        <v/>
      </c>
      <c r="H28" s="9"/>
    </row>
    <row r="29" customFormat="false" ht="15" hidden="false" customHeight="true" outlineLevel="0" collapsed="false">
      <c r="A29" s="9"/>
      <c r="B29" s="9"/>
      <c r="C29" s="9"/>
      <c r="D29" s="9"/>
      <c r="E29" s="9"/>
      <c r="F29" s="8" t="str">
        <f aca="false">IF(D29="","",('Current Term'!$B$2*2+IF('Current Term'!$B$1="Summer",1,0))-(D29*2+IF(C29="Summer",1,0))+1)</f>
        <v/>
      </c>
      <c r="G29" s="8" t="str">
        <f aca="false">IF(D29="","",IF(F29&lt;1,"Not Yet Admitted",IF(F29&gt;8,"Graduated","Active")))</f>
        <v/>
      </c>
      <c r="H29" s="9"/>
    </row>
  </sheetData>
  <dataValidations count="2">
    <dataValidation allowBlank="true" errorStyle="stop" operator="between" showDropDown="false" showErrorMessage="false" showInputMessage="false" sqref="B2:B29" type="list">
      <formula1>'Curriculum Versions'!$A$2:$A$7</formula1>
      <formula2>0</formula2>
    </dataValidation>
    <dataValidation allowBlank="true" errorStyle="stop" operator="between" showDropDown="false" showErrorMessage="false" showInputMessage="false" sqref="C2:C29" type="list">
      <formula1>"Spring,Summer"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1" t="s">
        <v>27</v>
      </c>
      <c r="B1" s="11" t="s">
        <v>36</v>
      </c>
      <c r="C1" s="11" t="s">
        <v>37</v>
      </c>
      <c r="D1" s="11" t="s">
        <v>19</v>
      </c>
    </row>
    <row r="2" customFormat="false" ht="15" hidden="false" customHeight="false" outlineLevel="0" collapsed="false">
      <c r="A2" s="12" t="n">
        <v>38</v>
      </c>
      <c r="B2" s="12" t="s">
        <v>38</v>
      </c>
      <c r="C2" s="12" t="s">
        <v>39</v>
      </c>
      <c r="D2" s="12" t="s">
        <v>40</v>
      </c>
    </row>
    <row r="3" customFormat="false" ht="15" hidden="false" customHeight="false" outlineLevel="0" collapsed="false">
      <c r="A3" s="13"/>
      <c r="B3" s="13"/>
      <c r="C3" s="13"/>
      <c r="D3" s="13"/>
    </row>
    <row r="4" customFormat="false" ht="15" hidden="false" customHeight="false" outlineLevel="0" collapsed="false">
      <c r="A4" s="13"/>
      <c r="B4" s="13"/>
      <c r="C4" s="13"/>
      <c r="D4" s="13"/>
    </row>
    <row r="5" customFormat="false" ht="15" hidden="false" customHeight="false" outlineLevel="0" collapsed="false">
      <c r="A5" s="13"/>
      <c r="B5" s="13"/>
      <c r="C5" s="13"/>
      <c r="D5" s="13"/>
    </row>
    <row r="6" customFormat="false" ht="15" hidden="false" customHeight="false" outlineLevel="0" collapsed="false">
      <c r="A6" s="13"/>
      <c r="B6" s="13"/>
      <c r="C6" s="13"/>
      <c r="D6" s="13"/>
    </row>
    <row r="7" customFormat="false" ht="15" hidden="false" customHeight="false" outlineLevel="0" collapsed="false">
      <c r="A7" s="13"/>
      <c r="B7" s="13"/>
      <c r="C7" s="13"/>
      <c r="D7" s="13"/>
    </row>
    <row r="8" customFormat="false" ht="15" hidden="false" customHeight="false" outlineLevel="0" collapsed="false">
      <c r="A8" s="13"/>
      <c r="B8" s="13"/>
      <c r="C8" s="13"/>
      <c r="D8" s="13"/>
    </row>
    <row r="9" customFormat="false" ht="15" hidden="false" customHeight="false" outlineLevel="0" collapsed="false">
      <c r="A9" s="13"/>
      <c r="B9" s="13"/>
      <c r="C9" s="13"/>
      <c r="D9" s="13"/>
    </row>
    <row r="10" customFormat="false" ht="15" hidden="false" customHeight="false" outlineLevel="0" collapsed="false">
      <c r="A10" s="13"/>
      <c r="B10" s="13"/>
      <c r="C10" s="13"/>
      <c r="D10" s="13"/>
    </row>
    <row r="11" customFormat="false" ht="15" hidden="false" customHeight="false" outlineLevel="0" collapsed="false">
      <c r="A11" s="13"/>
      <c r="B11" s="13"/>
      <c r="C11" s="13"/>
      <c r="D11" s="13"/>
    </row>
    <row r="12" customFormat="false" ht="15" hidden="false" customHeight="false" outlineLevel="0" collapsed="false">
      <c r="A12" s="13"/>
      <c r="B12" s="13"/>
      <c r="C12" s="13"/>
      <c r="D12" s="13"/>
    </row>
    <row r="13" customFormat="false" ht="15" hidden="false" customHeight="false" outlineLevel="0" collapsed="false">
      <c r="A13" s="13"/>
      <c r="B13" s="13"/>
      <c r="C13" s="13"/>
      <c r="D13" s="13"/>
    </row>
    <row r="14" customFormat="false" ht="15" hidden="false" customHeight="false" outlineLevel="0" collapsed="false">
      <c r="A14" s="13"/>
      <c r="B14" s="13"/>
      <c r="C14" s="13"/>
      <c r="D14" s="13"/>
    </row>
    <row r="15" customFormat="false" ht="15" hidden="false" customHeight="false" outlineLevel="0" collapsed="false">
      <c r="A15" s="13"/>
      <c r="B15" s="13"/>
      <c r="C15" s="13"/>
      <c r="D15" s="13"/>
    </row>
    <row r="16" customFormat="false" ht="15" hidden="false" customHeight="false" outlineLevel="0" collapsed="false">
      <c r="A16" s="13"/>
      <c r="B16" s="13"/>
      <c r="C16" s="13"/>
      <c r="D16" s="13"/>
    </row>
    <row r="17" customFormat="false" ht="15" hidden="false" customHeight="false" outlineLevel="0" collapsed="false">
      <c r="A17" s="13"/>
      <c r="B17" s="13"/>
      <c r="C17" s="13"/>
      <c r="D17" s="13"/>
    </row>
    <row r="18" customFormat="false" ht="15" hidden="false" customHeight="false" outlineLevel="0" collapsed="false">
      <c r="A18" s="13"/>
      <c r="B18" s="13"/>
      <c r="C18" s="13"/>
      <c r="D18" s="13"/>
    </row>
    <row r="19" customFormat="false" ht="15" hidden="false" customHeight="false" outlineLevel="0" collapsed="false">
      <c r="A19" s="13"/>
      <c r="B19" s="13"/>
      <c r="C19" s="13"/>
      <c r="D19" s="13"/>
    </row>
    <row r="20" customFormat="false" ht="15" hidden="false" customHeight="false" outlineLevel="0" collapsed="false">
      <c r="A20" s="13"/>
      <c r="B20" s="13"/>
      <c r="C20" s="13"/>
      <c r="D20" s="13"/>
    </row>
    <row r="21" customFormat="false" ht="15" hidden="false" customHeight="false" outlineLevel="0" collapsed="false">
      <c r="A21" s="13"/>
      <c r="B21" s="13"/>
      <c r="C21" s="13"/>
      <c r="D21" s="13"/>
    </row>
    <row r="22" customFormat="false" ht="15" hidden="false" customHeight="false" outlineLevel="0" collapsed="false">
      <c r="A22" s="13"/>
      <c r="B22" s="13"/>
      <c r="C22" s="13"/>
      <c r="D22" s="13"/>
    </row>
    <row r="23" customFormat="false" ht="15" hidden="false" customHeight="false" outlineLevel="0" collapsed="false">
      <c r="A23" s="13"/>
      <c r="B23" s="13"/>
      <c r="C23" s="13"/>
      <c r="D23" s="13"/>
    </row>
    <row r="24" customFormat="false" ht="15" hidden="false" customHeight="false" outlineLevel="0" collapsed="false">
      <c r="A24" s="13"/>
      <c r="B24" s="13"/>
      <c r="C24" s="13"/>
      <c r="D24" s="13"/>
    </row>
    <row r="25" customFormat="false" ht="15" hidden="false" customHeight="false" outlineLevel="0" collapsed="false">
      <c r="A25" s="13"/>
      <c r="B25" s="13"/>
      <c r="C25" s="13"/>
      <c r="D25" s="13"/>
    </row>
    <row r="26" customFormat="false" ht="15" hidden="false" customHeight="false" outlineLevel="0" collapsed="false">
      <c r="A26" s="13"/>
      <c r="B26" s="13"/>
      <c r="C26" s="13"/>
      <c r="D26" s="13"/>
    </row>
    <row r="27" customFormat="false" ht="15" hidden="false" customHeight="false" outlineLevel="0" collapsed="false">
      <c r="A27" s="13"/>
      <c r="B27" s="13"/>
      <c r="C27" s="13"/>
      <c r="D27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2026-09-15T05:55:36Z</dcterms:created>
  <dc:creator>openpyxl</dc:creator>
  <dc:description/>
  <dc:language>en-US</dc:language>
  <cp:lastModifiedBy/>
  <dcterms:modified xsi:type="dcterms:W3CDTF">2026-09-15T06:23:43Z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